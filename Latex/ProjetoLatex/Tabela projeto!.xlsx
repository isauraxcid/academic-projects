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uracid/Desktop/Fcul/PDT/"/>
    </mc:Choice>
  </mc:AlternateContent>
  <xr:revisionPtr revIDLastSave="0" documentId="8_{20D654EB-D8AB-1C4D-A681-C653118FAFE5}" xr6:coauthVersionLast="47" xr6:coauthVersionMax="47" xr10:uidLastSave="{00000000-0000-0000-0000-000000000000}"/>
  <bookViews>
    <workbookView xWindow="13380" yWindow="680" windowWidth="15420" windowHeight="16820" xr2:uid="{A51F1A88-FA92-CC47-97B0-7DD4DAC0E9F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N5" i="1"/>
  <c r="M5" i="1"/>
  <c r="L5" i="1"/>
  <c r="L4" i="1"/>
  <c r="Q4" i="1"/>
  <c r="P4" i="1"/>
  <c r="O4" i="1"/>
  <c r="N4" i="1"/>
  <c r="M4" i="1"/>
  <c r="Q3" i="1"/>
  <c r="P3" i="1"/>
  <c r="O3" i="1"/>
  <c r="N3" i="1"/>
  <c r="M3" i="1"/>
  <c r="L3" i="1"/>
  <c r="R2" i="1"/>
  <c r="R4" i="1"/>
  <c r="G34" i="1"/>
  <c r="F34" i="1"/>
  <c r="E34" i="1"/>
  <c r="D34" i="1"/>
  <c r="C34" i="1"/>
  <c r="B34" i="1"/>
  <c r="H35" i="1"/>
  <c r="G29" i="1"/>
  <c r="F29" i="1"/>
  <c r="E29" i="1"/>
  <c r="D29" i="1"/>
  <c r="C29" i="1"/>
  <c r="B29" i="1"/>
  <c r="B24" i="1"/>
  <c r="C24" i="1"/>
  <c r="D24" i="1"/>
  <c r="E24" i="1"/>
  <c r="F24" i="1"/>
  <c r="G24" i="1"/>
  <c r="G19" i="1"/>
  <c r="F19" i="1"/>
  <c r="E19" i="1"/>
  <c r="D19" i="1"/>
  <c r="C19" i="1"/>
  <c r="B19" i="1"/>
  <c r="H16" i="1"/>
  <c r="C10" i="1"/>
  <c r="H10" i="1" s="1"/>
  <c r="H6" i="1"/>
  <c r="G5" i="1"/>
  <c r="F5" i="1"/>
  <c r="E5" i="1"/>
  <c r="D5" i="1"/>
  <c r="C5" i="1"/>
  <c r="B5" i="1"/>
  <c r="H32" i="1"/>
  <c r="H2" i="1"/>
  <c r="H3" i="1"/>
  <c r="H7" i="1"/>
  <c r="H8" i="1"/>
  <c r="H11" i="1"/>
  <c r="H12" i="1"/>
  <c r="H14" i="1"/>
  <c r="H17" i="1"/>
  <c r="H19" i="1"/>
  <c r="H20" i="1"/>
  <c r="H21" i="1"/>
  <c r="H22" i="1"/>
  <c r="H25" i="1"/>
  <c r="H26" i="1"/>
  <c r="H27" i="1"/>
  <c r="H29" i="1"/>
  <c r="H30" i="1"/>
  <c r="H31" i="1"/>
  <c r="R5" i="1" l="1"/>
  <c r="R3" i="1"/>
  <c r="H24" i="1"/>
  <c r="H5" i="1"/>
  <c r="H33" i="1"/>
  <c r="H34" i="1" l="1"/>
</calcChain>
</file>

<file path=xl/sharedStrings.xml><?xml version="1.0" encoding="utf-8"?>
<sst xmlns="http://schemas.openxmlformats.org/spreadsheetml/2006/main" count="56" uniqueCount="47">
  <si>
    <t>Planeamento</t>
  </si>
  <si>
    <t>Setembro</t>
  </si>
  <si>
    <t>Outubro</t>
  </si>
  <si>
    <t>Novembro</t>
  </si>
  <si>
    <t>Dezembro</t>
  </si>
  <si>
    <t>Janeiro</t>
  </si>
  <si>
    <t>Fevereiro</t>
  </si>
  <si>
    <t>TOTAL</t>
  </si>
  <si>
    <t>Salário</t>
  </si>
  <si>
    <t>RENDIMENTOS</t>
  </si>
  <si>
    <t>HABITAÇÃO</t>
  </si>
  <si>
    <t>Aluguer</t>
  </si>
  <si>
    <t>Supermercado</t>
  </si>
  <si>
    <t>Alimentação</t>
  </si>
  <si>
    <t>SAÚDE</t>
  </si>
  <si>
    <t>Médicos</t>
  </si>
  <si>
    <t>Medicamentos</t>
  </si>
  <si>
    <t>TRANSPORTES</t>
  </si>
  <si>
    <t>Passe</t>
  </si>
  <si>
    <t>Camioneta</t>
  </si>
  <si>
    <t>Comboio</t>
  </si>
  <si>
    <t>DESPESAS PESSOAIS</t>
  </si>
  <si>
    <t>Higiene Pessoal</t>
  </si>
  <si>
    <t>Vestuário</t>
  </si>
  <si>
    <t>Telemóvel, Internet</t>
  </si>
  <si>
    <t>LAZER</t>
  </si>
  <si>
    <t>Restaurantes</t>
  </si>
  <si>
    <t>Bares</t>
  </si>
  <si>
    <t>Cinema</t>
  </si>
  <si>
    <t>ENSINO</t>
  </si>
  <si>
    <t>Propinas e Taxas</t>
  </si>
  <si>
    <t>Material Escolar</t>
  </si>
  <si>
    <t>Livros</t>
  </si>
  <si>
    <t>EXTRAS</t>
  </si>
  <si>
    <t>RESUMO</t>
  </si>
  <si>
    <t>GASTOS</t>
  </si>
  <si>
    <t>SALDO DO MÊS</t>
  </si>
  <si>
    <t>SALDO ACUMULADO</t>
  </si>
  <si>
    <t>As Contas</t>
  </si>
  <si>
    <t>Rendimentos</t>
  </si>
  <si>
    <t>Habitação</t>
  </si>
  <si>
    <t>Saúde</t>
  </si>
  <si>
    <t>Transportes</t>
  </si>
  <si>
    <t>Despesas Pessoais</t>
  </si>
  <si>
    <t>Lazer</t>
  </si>
  <si>
    <t>Ensino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</si>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</sst>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_);[Red]\(#,##0.00\ &quot;€&quot;\)"/>
    <numFmt numFmtId="44" formatCode="_ * #,##0.00_)\ &quot;€&quot;_ ;_ * \(#,##0.00\)\ &quot;€&quot;_ ;_ * &quot;-&quot;??_)\ &quot;€&quot;_ ;_ @_ "/>
    <numFmt numFmtId="164" formatCode="0;\-0;&quot;-&quot;"/>
    <numFmt numFmtId="165" formatCode="&quot;€&quot;\ #\.##0.00;\-&quot;€&quot;\ #\.##0.00;\-\ 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4"/>
      <name val="Aptos Narrow"/>
      <scheme val="minor"/>
    </font>
    <font>
      <sz val="16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3" fillId="2" borderId="0" xfId="0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/>
    <xf numFmtId="44" fontId="2" fillId="3" borderId="0" xfId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8" fontId="2" fillId="3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4" fontId="2" fillId="3" borderId="0" xfId="1" applyFont="1" applyFill="1" applyAlignment="1">
      <alignment vertical="center"/>
    </xf>
  </cellXfs>
  <cellStyles count="2">
    <cellStyle name="Moeda" xfId="1" builtinId="4"/>
    <cellStyle name="Normal" xfId="0" builtinId="0"/>
  </cellStyles>
  <dxfs count="2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4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€&quot;\ #\.##0.00;\-&quot;€&quot;\ #\.##0.00;\-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theme="4"/>
        <name val="Aptos Narrow"/>
        <scheme val="minor"/>
      </font>
      <alignment horizontal="center" vertical="center" textRotation="0" wrapText="0" indent="0" justifyLastLine="0" shrinkToFit="0" readingOrder="0"/>
    </dxf>
    <dxf>
      <numFmt numFmtId="164" formatCode="0;\-0;&quot;-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4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Rendimentos versus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Folha1!$K$3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Folha1!$L$1:$Q$1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Folha1!$L$3:$Q$3</c:f>
              <c:numCache>
                <c:formatCode>_("€"* #,##0.00_);_("€"* \(#,##0.00\);_("€"* "-"??_);_(@_)</c:formatCode>
                <c:ptCount val="6"/>
                <c:pt idx="0">
                  <c:v>397.83</c:v>
                </c:pt>
                <c:pt idx="1">
                  <c:v>244.3</c:v>
                </c:pt>
                <c:pt idx="2">
                  <c:v>232.3</c:v>
                </c:pt>
                <c:pt idx="3">
                  <c:v>235.3</c:v>
                </c:pt>
                <c:pt idx="4">
                  <c:v>234</c:v>
                </c:pt>
                <c:pt idx="5">
                  <c:v>214.3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D-6347-BC49-504EAB24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199967"/>
        <c:axId val="1289051903"/>
      </c:barChart>
      <c:lineChart>
        <c:grouping val="standard"/>
        <c:varyColors val="0"/>
        <c:ser>
          <c:idx val="0"/>
          <c:order val="0"/>
          <c:tx>
            <c:strRef>
              <c:f>Folha1!$K$2</c:f>
              <c:strCache>
                <c:ptCount val="1"/>
                <c:pt idx="0">
                  <c:v>RENDIMENTOS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Folha1!$L$1:$Q$1</c:f>
              <c:strCache>
                <c:ptCount val="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Fevereiro</c:v>
                </c:pt>
              </c:strCache>
            </c:strRef>
          </c:cat>
          <c:val>
            <c:numRef>
              <c:f>Folha1!$L$2:$Q$2</c:f>
              <c:numCache>
                <c:formatCode>_("€"* #,##0.00_);_("€"* \(#,##0.00\);_("€"* "-"??_);_(@_)</c:formatCode>
                <c:ptCount val="6"/>
                <c:pt idx="0">
                  <c:v>729.8</c:v>
                </c:pt>
                <c:pt idx="1">
                  <c:v>729.8</c:v>
                </c:pt>
                <c:pt idx="2">
                  <c:v>729.8</c:v>
                </c:pt>
                <c:pt idx="3">
                  <c:v>729.8</c:v>
                </c:pt>
                <c:pt idx="4">
                  <c:v>729.8</c:v>
                </c:pt>
                <c:pt idx="5">
                  <c:v>729.8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D-6347-BC49-504EAB24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199967"/>
        <c:axId val="1289051903"/>
      </c:lineChart>
      <c:catAx>
        <c:axId val="122219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89051903"/>
        <c:crosses val="autoZero"/>
        <c:auto val="1"/>
        <c:lblAlgn val="ctr"/>
        <c:lblOffset val="100"/>
        <c:noMultiLvlLbl val="0"/>
      </c:catAx>
      <c:valAx>
        <c:axId val="12890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219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 em Percentagem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8D-D241-84CD-C237A0F55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8D-D241-84CD-C237A0F55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8D-D241-84CD-C237A0F559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8D-D241-84CD-C237A0F559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8D-D241-84CD-C237A0F559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D8D-D241-84CD-C237A0F559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D8D-D241-84CD-C237A0F559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Folha1!$K$11:$K$17</c:f>
              <c:strCache>
                <c:ptCount val="7"/>
                <c:pt idx="0">
                  <c:v>Habitação</c:v>
                </c:pt>
                <c:pt idx="1">
                  <c:v>Saúde</c:v>
                </c:pt>
                <c:pt idx="2">
                  <c:v>Transportes</c:v>
                </c:pt>
                <c:pt idx="3">
                  <c:v>Despesas Pessoais</c:v>
                </c:pt>
                <c:pt idx="4">
                  <c:v>Lazer</c:v>
                </c:pt>
                <c:pt idx="5">
                  <c:v>Ensino</c:v>
                </c:pt>
                <c:pt idx="6">
                  <c:v>Extras</c:v>
                </c:pt>
              </c:strCache>
            </c:strRef>
          </c:cat>
          <c:val>
            <c:numRef>
              <c:f>Folha1!$L$11:$L$17</c:f>
              <c:numCache>
                <c:formatCode>_("€"* #,##0.00_);_("€"* \(#,##0.00\);_("€"* "-"??_);_(@_)</c:formatCode>
                <c:ptCount val="7"/>
                <c:pt idx="0">
                  <c:v>550.79999999999995</c:v>
                </c:pt>
                <c:pt idx="1">
                  <c:v>30</c:v>
                </c:pt>
                <c:pt idx="2">
                  <c:v>0</c:v>
                </c:pt>
                <c:pt idx="3">
                  <c:v>324.23</c:v>
                </c:pt>
                <c:pt idx="4">
                  <c:v>80</c:v>
                </c:pt>
                <c:pt idx="5">
                  <c:v>512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4-B74E-9CFE-618BBC5459D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7587</xdr:colOff>
      <xdr:row>6</xdr:row>
      <xdr:rowOff>215900</xdr:rowOff>
    </xdr:from>
    <xdr:to>
      <xdr:col>19</xdr:col>
      <xdr:colOff>0</xdr:colOff>
      <xdr:row>17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97851E-877A-79D3-60FB-655A400D9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19384</xdr:colOff>
      <xdr:row>19</xdr:row>
      <xdr:rowOff>188418</xdr:rowOff>
    </xdr:from>
    <xdr:to>
      <xdr:col>14</xdr:col>
      <xdr:colOff>24868</xdr:colOff>
      <xdr:row>34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24766BE-4AD0-E2B8-A1E5-7181FD58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025F0-308A-2846-94BB-42069006ED8A}" name="Tabela1" displayName="Tabela1" ref="A1:H35" totalsRowShown="0" headerRowDxfId="20">
  <autoFilter ref="A1:H35" xr:uid="{1FA025F0-308A-2846-94BB-42069006ED8A}"/>
  <tableColumns count="8">
    <tableColumn id="1" xr3:uid="{0DF3180B-06FA-1448-BD81-A17CE93D7AA6}" name="Planeamento"/>
    <tableColumn id="2" xr3:uid="{68365C04-5D3E-9F4A-A05A-046BAD12910E}" name="Setembro" dataDxfId="19"/>
    <tableColumn id="3" xr3:uid="{054AA8A5-7A37-9046-9401-C9A4455D7862}" name="Outubro" dataDxfId="18"/>
    <tableColumn id="4" xr3:uid="{89B9672D-E3C0-384C-85C1-38CB5086113E}" name="Novembro" dataDxfId="17"/>
    <tableColumn id="5" xr3:uid="{0ACBEE0F-709B-184F-B86F-85788A55816A}" name="Dezembro" dataDxfId="16"/>
    <tableColumn id="6" xr3:uid="{C2AE71AB-CA0D-634F-AE84-6BE8C6A69A67}" name="Janeiro" dataDxfId="15"/>
    <tableColumn id="7" xr3:uid="{2D5CEBFA-B7C4-374D-850A-616CFE5FFC32}" name="Fevereiro" dataDxfId="14"/>
    <tableColumn id="8" xr3:uid="{EEF058E6-711B-CC40-822E-98EAB6ED9CF9}" name="TOTAL" dataDxfId="13">
      <calculatedColumnFormula>SUM(Tabela1[[#This Row],[Setembro]:[Fevereiro]])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63ACD-0AF5-CD4E-A08A-6BD83218BC49}" name="Tabela2" displayName="Tabela2" ref="K1:R5" totalsRowShown="0" headerRowDxfId="12">
  <autoFilter ref="K1:R5" xr:uid="{33363ACD-0AF5-CD4E-A08A-6BD83218BC49}"/>
  <tableColumns count="8">
    <tableColumn id="1" xr3:uid="{5C38EF5A-2181-7047-ADE0-2A73CA7C5000}" name="RESUMO" dataDxfId="11"/>
    <tableColumn id="2" xr3:uid="{35915409-8F30-B743-A4E4-0F336FA971CB}" name="Setembro" dataDxfId="10"/>
    <tableColumn id="3" xr3:uid="{BEB4E039-61B5-454B-A3FB-4F77C1A40F95}" name="Outubro" dataDxfId="9"/>
    <tableColumn id="4" xr3:uid="{16483EAC-7616-AD49-915E-0095B63855C7}" name="Novembro" dataDxfId="8"/>
    <tableColumn id="5" xr3:uid="{03F10B1F-46C7-0747-A204-27F627944A96}" name="Dezembro" dataDxfId="7"/>
    <tableColumn id="6" xr3:uid="{E6952C57-6BA5-DE4D-B4B8-1D0018F8B568}" name="Janeiro" dataDxfId="6"/>
    <tableColumn id="7" xr3:uid="{750708ED-7F38-C948-85B4-C12BDDEFF7AD}" name="Fevereiro" dataDxfId="5"/>
    <tableColumn id="8" xr3:uid="{44CC1DC7-EC4D-FD45-A301-E12DFBFD1829}" name="TOTAL" dataDxfId="4">
      <calculatedColumnFormula>SUM(Tabela2[[#This Row],[Setembro]:[Fevereiro]])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3E88EE-E91F-554C-AACD-3EAA2BA75C75}" name="Tabela3" displayName="Tabela3" ref="K9:L17" totalsRowShown="0" headerRowDxfId="3" dataDxfId="2">
  <autoFilter ref="K9:L17" xr:uid="{3F3E88EE-E91F-554C-AACD-3EAA2BA75C75}"/>
  <tableColumns count="2">
    <tableColumn id="1" xr3:uid="{A226AD2F-7551-FF41-BF0B-490B365534B1}" name="As Contas" dataDxfId="1"/>
    <tableColumn id="2" xr3:uid="{FF6DD80A-4DA5-2D46-B964-1F9B541D8170}" name="TOTAL" dataDxfId="0" dataCellStyle="Moe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93C9-3891-914E-B918-0D7ACD95599A}">
  <dimension ref="A1:R35"/>
  <sheetViews>
    <sheetView tabSelected="1" zoomScale="50" zoomScaleNormal="143" workbookViewId="0">
      <selection activeCell="J29" sqref="J29"/>
    </sheetView>
  </sheetViews>
  <sheetFormatPr baseColWidth="10" defaultRowHeight="16" x14ac:dyDescent="0.2"/>
  <cols>
    <col min="1" max="1" width="22.6640625" customWidth="1"/>
    <col min="2" max="2" width="17.5" customWidth="1"/>
    <col min="3" max="3" width="17.1640625" customWidth="1"/>
    <col min="4" max="4" width="17.5" customWidth="1"/>
    <col min="5" max="5" width="16.1640625" customWidth="1"/>
    <col min="6" max="6" width="17" customWidth="1"/>
    <col min="7" max="7" width="16.83203125" customWidth="1"/>
    <col min="8" max="8" width="17" customWidth="1"/>
    <col min="11" max="11" width="23.1640625" customWidth="1"/>
    <col min="12" max="12" width="15.83203125" customWidth="1"/>
    <col min="13" max="13" width="15.5" customWidth="1"/>
    <col min="14" max="14" width="15" customWidth="1"/>
    <col min="15" max="15" width="14.83203125" customWidth="1"/>
    <col min="16" max="16" width="15.6640625" customWidth="1"/>
    <col min="17" max="17" width="14.6640625" customWidth="1"/>
    <col min="18" max="18" width="15.5" customWidth="1"/>
  </cols>
  <sheetData>
    <row r="1" spans="1:18" ht="22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K1" s="15" t="s">
        <v>34</v>
      </c>
      <c r="L1" s="15" t="s">
        <v>1</v>
      </c>
      <c r="M1" s="15" t="s">
        <v>2</v>
      </c>
      <c r="N1" s="15" t="s">
        <v>3</v>
      </c>
      <c r="O1" s="15" t="s">
        <v>4</v>
      </c>
      <c r="P1" s="15" t="s">
        <v>5</v>
      </c>
      <c r="Q1" s="15" t="s">
        <v>6</v>
      </c>
      <c r="R1" s="15" t="s">
        <v>7</v>
      </c>
    </row>
    <row r="2" spans="1:18" ht="22" x14ac:dyDescent="0.3">
      <c r="A2" s="20" t="s">
        <v>8</v>
      </c>
      <c r="B2" s="21">
        <v>820</v>
      </c>
      <c r="C2" s="21">
        <v>820</v>
      </c>
      <c r="D2" s="21">
        <v>820</v>
      </c>
      <c r="E2" s="21">
        <v>820</v>
      </c>
      <c r="F2" s="21">
        <v>820</v>
      </c>
      <c r="G2" s="21">
        <v>820</v>
      </c>
      <c r="H2" s="7">
        <f>SUM(Tabela1[[#This Row],[Setembro]:[Fevereiro]])</f>
        <v>4920</v>
      </c>
      <c r="K2" s="16" t="s">
        <v>9</v>
      </c>
      <c r="L2" s="17">
        <v>729.8</v>
      </c>
      <c r="M2" s="17">
        <v>729.8</v>
      </c>
      <c r="N2" s="17">
        <v>729.8</v>
      </c>
      <c r="O2" s="17">
        <v>729.8</v>
      </c>
      <c r="P2" s="17">
        <v>729.8</v>
      </c>
      <c r="Q2" s="17">
        <v>729.8</v>
      </c>
      <c r="R2" s="7">
        <f>SUM(Tabela2[[#This Row],[Setembro]:[Fevereiro]])</f>
        <v>4378.8</v>
      </c>
    </row>
    <row r="3" spans="1:18" ht="22" x14ac:dyDescent="0.3">
      <c r="A3" s="4" t="s">
        <v>9</v>
      </c>
      <c r="B3" s="6">
        <v>729.8</v>
      </c>
      <c r="C3" s="6">
        <v>729.8</v>
      </c>
      <c r="D3" s="6">
        <v>729.8</v>
      </c>
      <c r="E3" s="6">
        <v>729.8</v>
      </c>
      <c r="F3" s="6">
        <v>729.8</v>
      </c>
      <c r="G3" s="6">
        <v>729.8</v>
      </c>
      <c r="H3" s="8">
        <f>SUM(Tabela1[[#This Row],[Setembro]:[Fevereiro]])</f>
        <v>4378.8</v>
      </c>
      <c r="K3" s="16" t="s">
        <v>35</v>
      </c>
      <c r="L3" s="9">
        <f t="shared" ref="L3:Q3" si="0">SUM(B5,B10,B14,B19,B24,B29,B34)</f>
        <v>397.83</v>
      </c>
      <c r="M3" s="9">
        <f t="shared" si="0"/>
        <v>244.3</v>
      </c>
      <c r="N3" s="9">
        <f t="shared" si="0"/>
        <v>232.3</v>
      </c>
      <c r="O3" s="9">
        <f t="shared" si="0"/>
        <v>235.3</v>
      </c>
      <c r="P3" s="9">
        <f t="shared" si="0"/>
        <v>234</v>
      </c>
      <c r="Q3" s="9">
        <f t="shared" si="0"/>
        <v>214.3</v>
      </c>
      <c r="R3" s="7">
        <f>SUM(Tabela2[[#This Row],[Setembro]:[Fevereiro]])</f>
        <v>1558.03</v>
      </c>
    </row>
    <row r="4" spans="1:18" ht="22" x14ac:dyDescent="0.3">
      <c r="A4" s="12"/>
      <c r="B4" s="12"/>
      <c r="C4" s="12"/>
      <c r="D4" s="12"/>
      <c r="E4" s="12"/>
      <c r="F4" s="12"/>
      <c r="G4" s="12"/>
      <c r="H4" s="22"/>
      <c r="K4" s="16" t="s">
        <v>36</v>
      </c>
      <c r="L4" s="17">
        <f t="shared" ref="L4:Q4" si="1">L2-L3</f>
        <v>331.96999999999997</v>
      </c>
      <c r="M4" s="17">
        <f t="shared" si="1"/>
        <v>485.49999999999994</v>
      </c>
      <c r="N4" s="17">
        <f t="shared" si="1"/>
        <v>497.49999999999994</v>
      </c>
      <c r="O4" s="17">
        <f t="shared" si="1"/>
        <v>494.49999999999994</v>
      </c>
      <c r="P4" s="17">
        <f t="shared" si="1"/>
        <v>495.79999999999995</v>
      </c>
      <c r="Q4" s="17">
        <f t="shared" si="1"/>
        <v>515.5</v>
      </c>
      <c r="R4" s="7">
        <f>SUM(Tabela2[[#This Row],[Setembro]:[Fevereiro]])</f>
        <v>2820.7699999999995</v>
      </c>
    </row>
    <row r="5" spans="1:18" ht="22" x14ac:dyDescent="0.3">
      <c r="A5" s="4" t="s">
        <v>10</v>
      </c>
      <c r="B5" s="8">
        <f>SUM(B6:B7:B8)</f>
        <v>84.3</v>
      </c>
      <c r="C5" s="8">
        <f>SUM(C6:C7:C8)</f>
        <v>89.3</v>
      </c>
      <c r="D5" s="8">
        <f>SUM(D6:D7:D8)</f>
        <v>97.3</v>
      </c>
      <c r="E5" s="8">
        <f>SUM(E6:E7:E8)</f>
        <v>94.3</v>
      </c>
      <c r="F5" s="8">
        <f>SUM(F6:F7:F8)</f>
        <v>79.3</v>
      </c>
      <c r="G5" s="8">
        <f>SUM(G6:G7:G8)</f>
        <v>106.3</v>
      </c>
      <c r="H5" s="8">
        <f>SUM(Tabela1[[#This Row],[Setembro]:[Fevereiro]])</f>
        <v>550.79999999999995</v>
      </c>
      <c r="K5" s="16" t="s">
        <v>37</v>
      </c>
      <c r="L5" s="9">
        <f>L2-L3</f>
        <v>331.96999999999997</v>
      </c>
      <c r="M5" s="9">
        <f>Tabela2[[#This Row],[Setembro]]+M4</f>
        <v>817.46999999999991</v>
      </c>
      <c r="N5" s="9">
        <f>Tabela2[[#This Row],[Outubro]]+N4</f>
        <v>1314.9699999999998</v>
      </c>
      <c r="O5" s="9">
        <f>Tabela2[[#This Row],[Novembro]]+O4</f>
        <v>1809.4699999999998</v>
      </c>
      <c r="P5" s="9">
        <f>Tabela2[[#This Row],[Dezembro]]+P4</f>
        <v>2305.2699999999995</v>
      </c>
      <c r="Q5" s="9">
        <f>Tabela2[[#This Row],[Janeiro]]+Q4</f>
        <v>2820.7699999999995</v>
      </c>
      <c r="R5" s="7">
        <f>SUM(Tabela2[[#This Row],[Setembro]:[Fevereiro]])</f>
        <v>9399.9199999999983</v>
      </c>
    </row>
    <row r="6" spans="1:18" ht="19" x14ac:dyDescent="0.2">
      <c r="A6" s="20" t="s">
        <v>11</v>
      </c>
      <c r="B6" s="23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7">
        <f>SUM(B6:C6:D6:E6:F6:G6)</f>
        <v>0</v>
      </c>
    </row>
    <row r="7" spans="1:18" ht="19" x14ac:dyDescent="0.2">
      <c r="A7" s="5" t="s">
        <v>12</v>
      </c>
      <c r="B7" s="9">
        <v>27</v>
      </c>
      <c r="C7" s="9">
        <v>32</v>
      </c>
      <c r="D7" s="9">
        <v>40</v>
      </c>
      <c r="E7" s="9">
        <v>37</v>
      </c>
      <c r="F7" s="9">
        <v>22</v>
      </c>
      <c r="G7" s="9">
        <v>49</v>
      </c>
      <c r="H7" s="7">
        <f>SUM(Tabela1[[#This Row],[Setembro]:[Fevereiro]])</f>
        <v>207</v>
      </c>
    </row>
    <row r="8" spans="1:18" ht="19" x14ac:dyDescent="0.2">
      <c r="A8" s="20" t="s">
        <v>13</v>
      </c>
      <c r="B8" s="17">
        <v>57.3</v>
      </c>
      <c r="C8" s="17">
        <v>57.3</v>
      </c>
      <c r="D8" s="17">
        <v>57.3</v>
      </c>
      <c r="E8" s="17">
        <v>57.3</v>
      </c>
      <c r="F8" s="17">
        <v>57.3</v>
      </c>
      <c r="G8" s="17">
        <v>57.3</v>
      </c>
      <c r="H8" s="7">
        <f>SUM(Tabela1[[#This Row],[Setembro]:[Fevereiro]])</f>
        <v>343.8</v>
      </c>
    </row>
    <row r="9" spans="1:18" ht="22" x14ac:dyDescent="0.2">
      <c r="A9" s="2"/>
      <c r="B9" s="2"/>
      <c r="C9" s="2"/>
      <c r="D9" s="2"/>
      <c r="E9" s="2"/>
      <c r="F9" s="2"/>
      <c r="G9" s="2"/>
      <c r="H9" s="3"/>
      <c r="K9" s="18" t="s">
        <v>38</v>
      </c>
      <c r="L9" s="18" t="s">
        <v>7</v>
      </c>
    </row>
    <row r="10" spans="1:18" ht="22" x14ac:dyDescent="0.2">
      <c r="A10" s="4" t="s">
        <v>14</v>
      </c>
      <c r="B10" s="8">
        <v>0</v>
      </c>
      <c r="C10" s="10">
        <f>SUM(C11:C12)</f>
        <v>30</v>
      </c>
      <c r="D10" s="8">
        <v>0</v>
      </c>
      <c r="E10" s="8">
        <v>0</v>
      </c>
      <c r="F10" s="8">
        <v>0</v>
      </c>
      <c r="G10" s="8">
        <v>0</v>
      </c>
      <c r="H10" s="8">
        <f>SUM(Tabela1[[#This Row],[Setembro]:[Fevereiro]])</f>
        <v>30</v>
      </c>
      <c r="K10" s="19" t="s">
        <v>39</v>
      </c>
      <c r="L10" s="17">
        <v>4378.8</v>
      </c>
    </row>
    <row r="11" spans="1:18" ht="22" x14ac:dyDescent="0.2">
      <c r="A11" s="5" t="s">
        <v>15</v>
      </c>
      <c r="B11" s="9">
        <v>0</v>
      </c>
      <c r="C11" s="9">
        <v>30</v>
      </c>
      <c r="D11" s="9">
        <v>0</v>
      </c>
      <c r="E11" s="9">
        <v>0</v>
      </c>
      <c r="F11" s="11">
        <v>0</v>
      </c>
      <c r="G11" s="9">
        <v>0</v>
      </c>
      <c r="H11" s="7">
        <f>SUM(Tabela1[[#This Row],[Setembro]:[Fevereiro]])</f>
        <v>30</v>
      </c>
      <c r="K11" s="19" t="s">
        <v>40</v>
      </c>
      <c r="L11" s="17">
        <v>550.79999999999995</v>
      </c>
    </row>
    <row r="12" spans="1:18" ht="22" x14ac:dyDescent="0.2">
      <c r="A12" s="20" t="s">
        <v>16</v>
      </c>
      <c r="B12" s="17">
        <v>0</v>
      </c>
      <c r="C12" s="17">
        <v>0</v>
      </c>
      <c r="D12" s="17">
        <v>0</v>
      </c>
      <c r="E12" s="17">
        <v>0</v>
      </c>
      <c r="F12" s="17">
        <v>25</v>
      </c>
      <c r="G12" s="17">
        <v>0</v>
      </c>
      <c r="H12" s="7">
        <f>SUM(Tabela1[[#This Row],[Setembro]:[Fevereiro]])</f>
        <v>25</v>
      </c>
      <c r="K12" s="19" t="s">
        <v>41</v>
      </c>
      <c r="L12" s="17">
        <v>30</v>
      </c>
    </row>
    <row r="13" spans="1:18" ht="22" x14ac:dyDescent="0.2">
      <c r="A13" s="2"/>
      <c r="B13" s="2"/>
      <c r="C13" s="2"/>
      <c r="D13" s="2"/>
      <c r="E13" s="2"/>
      <c r="F13" s="2"/>
      <c r="G13" s="2"/>
      <c r="H13" s="3"/>
      <c r="K13" s="19" t="s">
        <v>42</v>
      </c>
      <c r="L13" s="17">
        <v>0</v>
      </c>
    </row>
    <row r="14" spans="1:18" ht="22" x14ac:dyDescent="0.2">
      <c r="A14" s="4" t="s">
        <v>17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f>SUM(Tabela1[[#This Row],[Setembro]:[Fevereiro]])</f>
        <v>0</v>
      </c>
      <c r="K14" s="19" t="s">
        <v>43</v>
      </c>
      <c r="L14" s="17">
        <v>324.23</v>
      </c>
    </row>
    <row r="15" spans="1:18" ht="22" x14ac:dyDescent="0.2">
      <c r="A15" s="5" t="s">
        <v>18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7">
        <v>0</v>
      </c>
      <c r="K15" s="19" t="s">
        <v>44</v>
      </c>
      <c r="L15" s="17">
        <v>80</v>
      </c>
    </row>
    <row r="16" spans="1:18" ht="22" x14ac:dyDescent="0.2">
      <c r="A16" s="20" t="s">
        <v>19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7">
        <f>SUM(B16:G16)</f>
        <v>0</v>
      </c>
      <c r="K16" s="19" t="s">
        <v>45</v>
      </c>
      <c r="L16" s="17">
        <v>512</v>
      </c>
    </row>
    <row r="17" spans="1:12" ht="22" x14ac:dyDescent="0.2">
      <c r="A17" s="5" t="s">
        <v>20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7">
        <f>SUM(Tabela1[[#This Row],[Setembro]:[Fevereiro]])</f>
        <v>0</v>
      </c>
      <c r="K17" s="19" t="s">
        <v>46</v>
      </c>
      <c r="L17" s="17">
        <v>61</v>
      </c>
    </row>
    <row r="18" spans="1:12" ht="21" customHeight="1" x14ac:dyDescent="0.2">
      <c r="A18" s="12"/>
      <c r="B18" s="12"/>
      <c r="C18" s="12"/>
      <c r="D18" s="12"/>
      <c r="E18" s="12"/>
      <c r="F18" s="12"/>
      <c r="G18" s="12"/>
      <c r="H18" s="22"/>
    </row>
    <row r="19" spans="1:12" ht="22" x14ac:dyDescent="0.2">
      <c r="A19" s="4" t="s">
        <v>21</v>
      </c>
      <c r="B19" s="10">
        <f t="shared" ref="B19:G19" si="2">SUM(B20:B22)</f>
        <v>102.53</v>
      </c>
      <c r="C19" s="10">
        <f t="shared" si="2"/>
        <v>37</v>
      </c>
      <c r="D19" s="10">
        <f t="shared" si="2"/>
        <v>37</v>
      </c>
      <c r="E19" s="10">
        <f t="shared" si="2"/>
        <v>37</v>
      </c>
      <c r="F19" s="10">
        <f t="shared" si="2"/>
        <v>73.7</v>
      </c>
      <c r="G19" s="10">
        <f t="shared" si="2"/>
        <v>37</v>
      </c>
      <c r="H19" s="8">
        <f>SUM(Tabela1[[#This Row],[Setembro]:[Fevereiro]])</f>
        <v>324.23</v>
      </c>
    </row>
    <row r="20" spans="1:12" ht="19" x14ac:dyDescent="0.2">
      <c r="A20" s="20" t="s">
        <v>22</v>
      </c>
      <c r="B20" s="17">
        <v>15</v>
      </c>
      <c r="C20" s="17">
        <v>15</v>
      </c>
      <c r="D20" s="17">
        <v>15</v>
      </c>
      <c r="E20" s="17">
        <v>15</v>
      </c>
      <c r="F20" s="17">
        <v>15</v>
      </c>
      <c r="G20" s="17">
        <v>15</v>
      </c>
      <c r="H20" s="7">
        <f>SUM(Tabela1[[#This Row],[Setembro]:[Fevereiro]])</f>
        <v>90</v>
      </c>
    </row>
    <row r="21" spans="1:12" ht="19" x14ac:dyDescent="0.2">
      <c r="A21" s="20" t="s">
        <v>23</v>
      </c>
      <c r="B21" s="17">
        <v>65.53</v>
      </c>
      <c r="C21" s="17">
        <v>0</v>
      </c>
      <c r="D21" s="17">
        <v>0</v>
      </c>
      <c r="E21" s="17">
        <v>0</v>
      </c>
      <c r="F21" s="17">
        <v>36.700000000000003</v>
      </c>
      <c r="G21" s="17">
        <v>0</v>
      </c>
      <c r="H21" s="7">
        <f>SUM(Tabela1[[#This Row],[Setembro]:[Fevereiro]])</f>
        <v>102.23</v>
      </c>
    </row>
    <row r="22" spans="1:12" ht="19" x14ac:dyDescent="0.2">
      <c r="A22" s="20" t="s">
        <v>24</v>
      </c>
      <c r="B22" s="17">
        <v>22</v>
      </c>
      <c r="C22" s="17">
        <v>22</v>
      </c>
      <c r="D22" s="17">
        <v>22</v>
      </c>
      <c r="E22" s="17">
        <v>22</v>
      </c>
      <c r="F22" s="17">
        <v>22</v>
      </c>
      <c r="G22" s="17">
        <v>22</v>
      </c>
      <c r="H22" s="7">
        <f>SUM(Tabela1[[#This Row],[Setembro]:[Fevereiro]])</f>
        <v>132</v>
      </c>
    </row>
    <row r="23" spans="1:12" ht="23" customHeight="1" x14ac:dyDescent="0.2">
      <c r="A23" s="2"/>
      <c r="B23" s="2"/>
      <c r="C23" s="2"/>
      <c r="D23" s="2"/>
      <c r="E23" s="2"/>
      <c r="F23" s="2"/>
      <c r="G23" s="2"/>
      <c r="H23" s="3"/>
    </row>
    <row r="24" spans="1:12" ht="22" x14ac:dyDescent="0.2">
      <c r="A24" s="4" t="s">
        <v>25</v>
      </c>
      <c r="B24" s="8">
        <f t="shared" ref="B24:G24" si="3">SUM(B25:B27)</f>
        <v>29</v>
      </c>
      <c r="C24" s="8">
        <f t="shared" si="3"/>
        <v>15</v>
      </c>
      <c r="D24" s="8">
        <f t="shared" si="3"/>
        <v>18</v>
      </c>
      <c r="E24" s="8">
        <f t="shared" si="3"/>
        <v>6</v>
      </c>
      <c r="F24" s="8">
        <f t="shared" si="3"/>
        <v>6</v>
      </c>
      <c r="G24" s="8">
        <f t="shared" si="3"/>
        <v>6</v>
      </c>
      <c r="H24" s="8">
        <f>SUM(Tabela1[[#This Row],[Setembro]:[Fevereiro]])</f>
        <v>80</v>
      </c>
    </row>
    <row r="25" spans="1:12" ht="19" x14ac:dyDescent="0.2">
      <c r="A25" s="5" t="s">
        <v>26</v>
      </c>
      <c r="B25" s="9">
        <v>20</v>
      </c>
      <c r="C25" s="9">
        <v>15</v>
      </c>
      <c r="D25" s="9">
        <v>18</v>
      </c>
      <c r="E25" s="9">
        <v>6</v>
      </c>
      <c r="F25" s="9">
        <v>6</v>
      </c>
      <c r="G25" s="9">
        <v>6</v>
      </c>
      <c r="H25" s="7">
        <f>SUM(Tabela1[[#This Row],[Setembro]:[Fevereiro]])</f>
        <v>71</v>
      </c>
    </row>
    <row r="26" spans="1:12" ht="19" x14ac:dyDescent="0.2">
      <c r="A26" s="20" t="s">
        <v>27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7">
        <f>SUM(Tabela1[[#This Row],[Setembro]:[Fevereiro]])</f>
        <v>0</v>
      </c>
    </row>
    <row r="27" spans="1:12" ht="19" x14ac:dyDescent="0.2">
      <c r="A27" s="5" t="s">
        <v>28</v>
      </c>
      <c r="B27" s="9">
        <v>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7">
        <f>SUM(Tabela1[[#This Row],[Setembro]:[Fevereiro]])</f>
        <v>9</v>
      </c>
    </row>
    <row r="28" spans="1:12" ht="21" customHeight="1" x14ac:dyDescent="0.2">
      <c r="A28" s="12"/>
      <c r="B28" s="12"/>
      <c r="C28" s="12"/>
      <c r="D28" s="12"/>
      <c r="E28" s="12"/>
      <c r="F28" s="12"/>
      <c r="G28" s="12"/>
      <c r="H28" s="22"/>
    </row>
    <row r="29" spans="1:12" ht="22" x14ac:dyDescent="0.2">
      <c r="A29" s="4" t="s">
        <v>29</v>
      </c>
      <c r="B29" s="10">
        <f t="shared" ref="B29:G29" si="4">SUM(B30:B32)</f>
        <v>182</v>
      </c>
      <c r="C29" s="10">
        <f t="shared" si="4"/>
        <v>60</v>
      </c>
      <c r="D29" s="10">
        <f t="shared" si="4"/>
        <v>60</v>
      </c>
      <c r="E29" s="10">
        <f t="shared" si="4"/>
        <v>90</v>
      </c>
      <c r="F29" s="10">
        <f t="shared" si="4"/>
        <v>60</v>
      </c>
      <c r="G29" s="10">
        <f t="shared" si="4"/>
        <v>60</v>
      </c>
      <c r="H29" s="8">
        <f>SUM(Tabela1[[#This Row],[Setembro]:[Fevereiro]])</f>
        <v>512</v>
      </c>
    </row>
    <row r="30" spans="1:12" ht="19" x14ac:dyDescent="0.2">
      <c r="A30" s="20" t="s">
        <v>30</v>
      </c>
      <c r="B30" s="17">
        <v>157</v>
      </c>
      <c r="C30" s="17">
        <v>60</v>
      </c>
      <c r="D30" s="17">
        <v>60</v>
      </c>
      <c r="E30" s="17">
        <v>60</v>
      </c>
      <c r="F30" s="17">
        <v>60</v>
      </c>
      <c r="G30" s="17">
        <v>60</v>
      </c>
      <c r="H30" s="7">
        <f>SUM(Tabela1[[#This Row],[Setembro]:[Fevereiro]])</f>
        <v>457</v>
      </c>
    </row>
    <row r="31" spans="1:12" ht="19" x14ac:dyDescent="0.2">
      <c r="A31" s="5" t="s">
        <v>31</v>
      </c>
      <c r="B31" s="9">
        <v>25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7">
        <f>SUM(Tabela1[[#This Row],[Setembro]:[Fevereiro]])</f>
        <v>25</v>
      </c>
    </row>
    <row r="32" spans="1:12" ht="19" x14ac:dyDescent="0.2">
      <c r="A32" s="20" t="s">
        <v>32</v>
      </c>
      <c r="B32" s="17">
        <v>0</v>
      </c>
      <c r="C32" s="17">
        <v>0</v>
      </c>
      <c r="D32" s="17">
        <v>0</v>
      </c>
      <c r="E32" s="17">
        <v>30</v>
      </c>
      <c r="F32" s="17">
        <v>0</v>
      </c>
      <c r="G32" s="17">
        <v>0</v>
      </c>
      <c r="H32" s="7">
        <f>SUM(Tabela1[[#This Row],[Setembro]:[Fevereiro]])</f>
        <v>30</v>
      </c>
    </row>
    <row r="33" spans="1:8" x14ac:dyDescent="0.2">
      <c r="A33" s="2"/>
      <c r="B33" s="2"/>
      <c r="C33" s="2"/>
      <c r="D33" s="2"/>
      <c r="E33" s="2"/>
      <c r="F33" s="2"/>
      <c r="G33" s="2"/>
      <c r="H33" s="1">
        <f>SUM(Tabela1[[#This Row],[Setembro]:[Fevereiro]])</f>
        <v>0</v>
      </c>
    </row>
    <row r="34" spans="1:8" ht="22" x14ac:dyDescent="0.2">
      <c r="A34" s="4" t="s">
        <v>33</v>
      </c>
      <c r="B34" s="8">
        <f t="shared" ref="B34:G34" si="5">SUM(B35)</f>
        <v>0</v>
      </c>
      <c r="C34" s="8">
        <f t="shared" si="5"/>
        <v>13</v>
      </c>
      <c r="D34" s="8">
        <f t="shared" si="5"/>
        <v>20</v>
      </c>
      <c r="E34" s="8">
        <f t="shared" si="5"/>
        <v>8</v>
      </c>
      <c r="F34" s="8">
        <f t="shared" si="5"/>
        <v>15</v>
      </c>
      <c r="G34" s="8">
        <f t="shared" si="5"/>
        <v>5</v>
      </c>
      <c r="H34" s="8">
        <f>SUM(Tabela1[[#This Row],[Setembro]:[Fevereiro]])</f>
        <v>61</v>
      </c>
    </row>
    <row r="35" spans="1:8" ht="19" x14ac:dyDescent="0.25">
      <c r="A35" s="13"/>
      <c r="B35" s="9">
        <v>0</v>
      </c>
      <c r="C35" s="9">
        <v>13</v>
      </c>
      <c r="D35" s="9">
        <v>20</v>
      </c>
      <c r="E35" s="9">
        <v>8</v>
      </c>
      <c r="F35" s="9">
        <v>15</v>
      </c>
      <c r="G35" s="9">
        <v>5</v>
      </c>
      <c r="H35" s="9">
        <f>SUM(Tabela1[[#This Row],[Setembro]:[Fevereiro]])</f>
        <v>61</v>
      </c>
    </row>
  </sheetData>
  <phoneticPr fontId="1" type="noConversion"/>
  <pageMargins left="0.7" right="0.7" top="0.75" bottom="0.75" header="0.3" footer="0.3"/>
  <ignoredErrors>
    <ignoredError sqref="H6 H15:H16" calculatedColumn="1"/>
  </ignoredErrors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fc63761</dc:creator>
  <cp:lastModifiedBy>fc63761</cp:lastModifiedBy>
  <dcterms:created xsi:type="dcterms:W3CDTF">2024-10-31T19:39:27Z</dcterms:created>
  <dcterms:modified xsi:type="dcterms:W3CDTF">2024-11-23T00:05:56Z</dcterms:modified>
</cp:coreProperties>
</file>